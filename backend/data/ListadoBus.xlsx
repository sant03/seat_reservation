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reglo Bus" state="visible" r:id="rId4"/>
    <sheet sheetId="2" name="Config" state="visible" r:id="rId5"/>
  </sheets>
  <calcPr calcId="171027" fullCalcOnLoad="1"/>
</workbook>
</file>

<file path=xl/sharedStrings.xml><?xml version="1.0" encoding="utf-8"?>
<sst xmlns="http://schemas.openxmlformats.org/spreadsheetml/2006/main" count="205" uniqueCount="71">
  <si>
    <t>Listado de Bus Asamblea Circuito  24/05/2026</t>
  </si>
  <si>
    <t xml:space="preserve"> DÍA 1</t>
  </si>
  <si>
    <t xml:space="preserve"> DÍA 2</t>
  </si>
  <si>
    <t xml:space="preserve"> DÍA 3</t>
  </si>
  <si>
    <t>NOMBRE</t>
  </si>
  <si>
    <t># PUESTOS DÍA 1</t>
  </si>
  <si>
    <t>TOTAL DÍA 1</t>
  </si>
  <si>
    <t>ESTADO DÍA 1</t>
  </si>
  <si>
    <t>PAGADO DÍA 1</t>
  </si>
  <si>
    <t>PENDIENTE DÍA 1</t>
  </si>
  <si>
    <t>#PUESTOS DÍA 2</t>
  </si>
  <si>
    <t>TOTAL DÍA 2</t>
  </si>
  <si>
    <t>ESTADO DÍA 2</t>
  </si>
  <si>
    <t>PAGADO DÍA 2</t>
  </si>
  <si>
    <t>PENDIENTE DÍA 2</t>
  </si>
  <si>
    <t>#PUESTOS DÍA 3</t>
  </si>
  <si>
    <t>TOTAL DÍA 3</t>
  </si>
  <si>
    <t>ESTADO DÍA 3</t>
  </si>
  <si>
    <t>PAGADO DÍA 3</t>
  </si>
  <si>
    <t>PENDIENTE DÍA 3</t>
  </si>
  <si>
    <t xml:space="preserve">TOTAL </t>
  </si>
  <si>
    <t>ESTADO</t>
  </si>
  <si>
    <t>VALOR PAGADO</t>
  </si>
  <si>
    <t>VALOR PENDIENTE</t>
  </si>
  <si>
    <t>COMENTARIOS</t>
  </si>
  <si>
    <t>Marlene Ospino ✅✅</t>
  </si>
  <si>
    <t>PAGÓ</t>
  </si>
  <si>
    <t>1,1</t>
  </si>
  <si>
    <t/>
  </si>
  <si>
    <t>Familia Orellano ✅✅</t>
  </si>
  <si>
    <t>PENDIENTE</t>
  </si>
  <si>
    <t>0,0,0,0,0,0,0,0</t>
  </si>
  <si>
    <t>Graciela Borré ✅❌</t>
  </si>
  <si>
    <t>0,0</t>
  </si>
  <si>
    <t>Familia Gloria ✅✅</t>
  </si>
  <si>
    <t>0,0,0,0,0,0,0,0,0,0</t>
  </si>
  <si>
    <t>Emilse Gonzalez ✅❌</t>
  </si>
  <si>
    <t>Karina Centeno ✅✅</t>
  </si>
  <si>
    <t>Familia Potes ✅✅</t>
  </si>
  <si>
    <t>Damaris ✅✅</t>
  </si>
  <si>
    <t>Jair Padilla ✅</t>
  </si>
  <si>
    <t>0,0,0,0,0,0</t>
  </si>
  <si>
    <t>Petra Llamas ✅✅</t>
  </si>
  <si>
    <t>Ruperto Salas✅✅</t>
  </si>
  <si>
    <t>0,0,0,0</t>
  </si>
  <si>
    <t>Libia Salas ✅✅</t>
  </si>
  <si>
    <t>Iveth hermana de Libia ✅✅</t>
  </si>
  <si>
    <t>Estudiante de Alaidis ❌</t>
  </si>
  <si>
    <t>Barbara ✅✅</t>
  </si>
  <si>
    <t>Fransisco Salas ✅</t>
  </si>
  <si>
    <t>Jackeline Salas ❌</t>
  </si>
  <si>
    <t>ABONÓ</t>
  </si>
  <si>
    <t>Rosa Perche ✅✅</t>
  </si>
  <si>
    <t>Keyla Colpas ✅✅</t>
  </si>
  <si>
    <t>Rut e Hijo ✅✅</t>
  </si>
  <si>
    <t>TOTAL</t>
  </si>
  <si>
    <t>TAREAS</t>
  </si>
  <si>
    <t>Le entregué 145.000 a Eduardo Malabeth</t>
  </si>
  <si>
    <t>Le entregué 250.000 a Eduardo Malabeth</t>
  </si>
  <si>
    <t>Le entregué 120.000 a Eduardo Malabeth</t>
  </si>
  <si>
    <t>CONFIGURACIÓN</t>
  </si>
  <si>
    <t>eventoNombre</t>
  </si>
  <si>
    <t>Asamblea de Circuito</t>
  </si>
  <si>
    <t>capacidadBus</t>
  </si>
  <si>
    <t>valorPuesto</t>
  </si>
  <si>
    <t>fechaDia1</t>
  </si>
  <si>
    <t>2026-05-24</t>
  </si>
  <si>
    <t>fechaDia2</t>
  </si>
  <si>
    <t>2026-05-25</t>
  </si>
  <si>
    <t>fechaDia3</t>
  </si>
  <si>
    <t>2026-05-26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</si>
</sst>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&quot;/&quot;d"/>
    <numFmt numFmtId="165" formatCode="dd&quot;/&quot;mm"/>
    <numFmt numFmtId="166" formatCode="&quot;$&quot;#,##0.00"/>
  </numFmts>
  <fonts count="21" x14ac:knownFonts="1">
    <font>
      <color theme="1"/>
      <family val="2"/>
      <scheme val="minor"/>
      <sz val="11"/>
      <name val="Calibri"/>
    </font>
    <font>
      <color rgb="FFFFFFFF"/>
      <sz val="10"/>
      <name val="Roboto"/>
    </font>
    <font>
      <color rgb="FFFFFFFF"/>
      <sz val="21"/>
      <name val="Roboto"/>
    </font>
    <font/>
    <font>
      <i/>
      <color rgb="FFFFFFFF"/>
      <sz val="10"/>
      <name val="Roboto"/>
    </font>
    <font>
      <color rgb="FFFFFFFF"/>
      <sz val="11"/>
      <name val="Roboto"/>
    </font>
    <font>
      <b/>
      <color rgb="FFFFFFFF"/>
      <sz val="24"/>
      <name val="Roboto"/>
    </font>
    <font>
      <color rgb="FF666666"/>
      <sz val="10"/>
      <name val="Roboto"/>
    </font>
    <font>
      <b/>
      <color rgb="FF0C343D"/>
      <sz val="18"/>
      <name val="Roboto"/>
    </font>
    <font>
      <color rgb="FF434343"/>
      <sz val="10"/>
      <name val="Roboto"/>
    </font>
    <font>
      <b/>
      <color rgb="FF434343"/>
      <sz val="11"/>
      <name val="Roboto"/>
    </font>
    <font>
      <sz val="10"/>
      <name val="Roboto"/>
    </font>
    <font>
      <color rgb="FF555555"/>
      <sz val="10"/>
      <name val="Roboto"/>
    </font>
    <font>
      <name val="Arial"/>
    </font>
    <font>
      <name val="Roboto"/>
    </font>
    <font>
      <b/>
      <sz val="10"/>
      <name val="Roboto"/>
    </font>
    <font>
      <sz val="12"/>
      <name val="Roboto"/>
    </font>
    <font>
      <b/>
      <color rgb="FF0F9D58"/>
      <sz val="12"/>
      <name val="Roboto"/>
    </font>
    <font>
      <color rgb="FF000000"/>
      <name val="Roboto"/>
    </font>
    <font>
      <color rgb="FF434343"/>
      <name val="Roboto"/>
    </font>
    <font>
      <b/>
      <sz val="12"/>
    </font>
  </fonts>
  <fills count="10">
    <fill>
      <patternFill patternType="none"/>
    </fill>
    <fill>
      <patternFill patternType="gray125"/>
    </fill>
    <fill>
      <patternFill patternType="solid">
        <fgColor rgb="FF0F9D58"/>
        <bgColor rgb="FF0F9D58"/>
      </patternFill>
    </fill>
    <fill>
      <patternFill patternType="solid">
        <fgColor rgb="FF6AA84F"/>
        <bgColor rgb="FF6AA84F"/>
      </patternFill>
    </fill>
    <fill>
      <patternFill patternType="solid">
        <fgColor rgb="FFD0E0E3"/>
        <bgColor rgb="FFD0E0E3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0">
    <border>
      <left/>
      <right/>
      <top/>
      <bottom/>
      <diagonal/>
    </border>
    <border>
      <left style="thin">
        <color rgb="FF004D40"/>
      </left>
      <right/>
      <top style="thin">
        <color rgb="FF004D40"/>
      </top>
      <bottom/>
      <diagonal/>
    </border>
    <border>
      <left/>
      <right/>
      <top style="thin">
        <color rgb="FF004D40"/>
      </top>
      <bottom/>
      <diagonal/>
    </border>
    <border>
      <left/>
      <right style="thin">
        <color rgb="FF004D40"/>
      </right>
      <top style="thin">
        <color rgb="FF004D40"/>
      </top>
      <bottom/>
      <diagonal/>
    </border>
    <border>
      <left style="thin">
        <color rgb="FF004D40"/>
      </left>
      <right/>
      <top/>
      <bottom/>
      <diagonal/>
    </border>
    <border>
      <left/>
      <right style="thin">
        <color rgb="FF004D4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2" borderId="1" xfId="0" applyFont="1" applyFill="1" applyBorder="1" applyAlignment="1">
      <alignment vertical="bottom"/>
    </xf>
    <xf numFmtId="0" fontId="2" fillId="2" borderId="2" xfId="0" applyFont="1" applyFill="1" applyBorder="1" applyAlignment="1">
      <alignment horizontal="left" vertical="bottom" readingOrder="1"/>
    </xf>
    <xf numFmtId="0" fontId="3" fillId="0" borderId="2" xfId="0" applyFont="1" applyBorder="1"/>
    <xf numFmtId="0" fontId="4" fillId="2" borderId="2" xfId="0" applyFont="1" applyFill="1" applyBorder="1" applyAlignment="1">
      <alignment horizontal="right" vertical="bottom" readingOrder="1"/>
    </xf>
    <xf numFmtId="0" fontId="1" fillId="2" borderId="3" xfId="0" applyFont="1" applyFill="1" applyBorder="1" applyAlignment="1">
      <alignment vertical="bottom"/>
    </xf>
    <xf numFmtId="0" fontId="5" fillId="3" borderId="4" xfId="0" applyFont="1" applyFill="1" applyBorder="1" applyAlignment="1">
      <alignment horizontal="left" vertical="top"/>
    </xf>
    <xf numFmtId="0" fontId="6" fillId="3" borderId="0" xfId="0" applyFont="1" applyFill="1" applyAlignment="1">
      <alignment horizontal="left" vertical="top" readingOrder="1"/>
    </xf>
    <xf numFmtId="0" fontId="5" fillId="3" borderId="5" xfId="0" applyFont="1" applyFill="1" applyBorder="1" applyAlignment="1">
      <alignment horizontal="left" vertical="top"/>
    </xf>
    <xf numFmtId="164" fontId="7" fillId="0" borderId="0" xfId="0" applyNumberFormat="1" applyFont="1" applyAlignment="1">
      <alignment vertical="bottom"/>
    </xf>
    <xf numFmtId="165" fontId="7" fillId="0" borderId="0" xfId="0" applyNumberFormat="1" applyFont="1" applyAlignment="1">
      <alignment horizontal="center" vertical="bottom" readingOrder="1"/>
    </xf>
    <xf numFmtId="0" fontId="8" fillId="4" borderId="0" xfId="0" applyFont="1" applyFill="1" applyAlignment="1">
      <alignment horizontal="center" vertical="center" readingOrder="1"/>
    </xf>
    <xf numFmtId="0" fontId="8" fillId="5" borderId="0" xfId="0" applyFont="1" applyFill="1" applyAlignment="1">
      <alignment horizontal="center" vertical="center" readingOrder="1"/>
    </xf>
    <xf numFmtId="0" fontId="8" fillId="6" borderId="0" xfId="0" applyFont="1" applyFill="1" applyAlignment="1">
      <alignment horizontal="center" vertical="center" readingOrder="1"/>
    </xf>
    <xf numFmtId="165" fontId="7" fillId="0" borderId="0" xfId="0" applyNumberFormat="1" applyFont="1" applyAlignment="1">
      <alignment horizontal="center" vertical="bottom"/>
    </xf>
    <xf numFmtId="0" fontId="9" fillId="0" borderId="0" xfId="0" applyFont="1" applyAlignment="1">
      <alignment vertical="bottom"/>
    </xf>
    <xf numFmtId="0" fontId="10" fillId="0" borderId="0" xfId="0" applyFont="1" applyAlignment="1">
      <alignment horizontal="center" vertical="top" readingOrder="1"/>
    </xf>
    <xf numFmtId="0" fontId="10" fillId="4" borderId="0" xfId="0" applyFont="1" applyFill="1" applyAlignment="1">
      <alignment horizontal="center" vertical="top" readingOrder="1"/>
    </xf>
    <xf numFmtId="0" fontId="10" fillId="5" borderId="0" xfId="0" applyFont="1" applyFill="1" applyAlignment="1">
      <alignment horizontal="center" vertical="top" readingOrder="1"/>
    </xf>
    <xf numFmtId="0" fontId="10" fillId="6" borderId="0" xfId="0" applyFont="1" applyFill="1" applyAlignment="1">
      <alignment horizontal="center" vertical="top" readingOrder="1"/>
    </xf>
    <xf numFmtId="0" fontId="11" fillId="0" borderId="0" xfId="0" applyFont="1" applyAlignment="1">
      <alignment vertical="center"/>
    </xf>
    <xf numFmtId="0" fontId="11" fillId="7" borderId="6" xfId="0" applyFont="1" applyFill="1" applyBorder="1" applyAlignment="1">
      <alignment vertical="center" wrapText="1" readingOrder="1"/>
    </xf>
    <xf numFmtId="0" fontId="11" fillId="4" borderId="6" xfId="0" applyFont="1" applyFill="1" applyBorder="1" applyAlignment="1">
      <alignment vertical="center" wrapText="1" readingOrder="1"/>
    </xf>
    <xf numFmtId="166" fontId="11" fillId="4" borderId="6" xfId="0" applyNumberFormat="1" applyFont="1" applyFill="1" applyBorder="1" applyAlignment="1">
      <alignment vertical="center" wrapText="1" readingOrder="1"/>
    </xf>
    <xf numFmtId="0" fontId="11" fillId="5" borderId="6" xfId="0" applyFont="1" applyFill="1" applyBorder="1" applyAlignment="1">
      <alignment vertical="center" wrapText="1" readingOrder="1"/>
    </xf>
    <xf numFmtId="166" fontId="11" fillId="5" borderId="6" xfId="0" applyNumberFormat="1" applyFont="1" applyFill="1" applyBorder="1" applyAlignment="1">
      <alignment vertical="center" wrapText="1" readingOrder="1"/>
    </xf>
    <xf numFmtId="0" fontId="11" fillId="6" borderId="6" xfId="0" applyFont="1" applyFill="1" applyBorder="1" applyAlignment="1">
      <alignment vertical="center" wrapText="1" readingOrder="1"/>
    </xf>
    <xf numFmtId="166" fontId="11" fillId="6" borderId="6" xfId="0" applyNumberFormat="1" applyFont="1" applyFill="1" applyBorder="1" applyAlignment="1">
      <alignment vertical="center" wrapText="1" readingOrder="1"/>
    </xf>
    <xf numFmtId="166" fontId="11" fillId="7" borderId="6" xfId="0" applyNumberFormat="1" applyFont="1" applyFill="1" applyBorder="1" applyAlignment="1">
      <alignment vertical="center" wrapText="1"/>
    </xf>
    <xf numFmtId="166" fontId="11" fillId="7" borderId="6" xfId="0" applyNumberFormat="1" applyFont="1" applyFill="1" applyBorder="1" applyAlignment="1">
      <alignment vertical="center" wrapText="1" readingOrder="1"/>
    </xf>
    <xf numFmtId="0" fontId="12" fillId="7" borderId="6" xfId="0" applyFont="1" applyFill="1" applyBorder="1" applyAlignment="1">
      <alignment vertical="center" wrapText="1" readingOrder="1"/>
    </xf>
    <xf numFmtId="0" fontId="12" fillId="0" borderId="0" xfId="0" applyFont="1" applyAlignment="1">
      <alignment vertical="center"/>
    </xf>
    <xf numFmtId="0" fontId="13" fillId="0" borderId="0" xfId="0" applyFont="1"/>
    <xf numFmtId="0" fontId="14" fillId="4" borderId="6" xfId="0" applyFont="1" applyFill="1" applyBorder="1" applyAlignment="1">
      <alignment horizontal="right" readingOrder="1"/>
    </xf>
    <xf numFmtId="0" fontId="14" fillId="5" borderId="6" xfId="0" applyFont="1" applyFill="1" applyBorder="1" applyAlignment="1">
      <alignment horizontal="right" readingOrder="1"/>
    </xf>
    <xf numFmtId="0" fontId="14" fillId="6" borderId="6" xfId="0" applyFont="1" applyFill="1" applyBorder="1" applyAlignment="1">
      <alignment horizontal="right" readingOrder="1"/>
    </xf>
    <xf numFmtId="0" fontId="13" fillId="0" borderId="6" xfId="0" applyFont="1" applyBorder="1" applyAlignment="1">
      <alignment readingOrder="1"/>
    </xf>
    <xf numFmtId="0" fontId="11" fillId="0" borderId="6" xfId="0" applyFont="1" applyBorder="1" applyAlignment="1">
      <alignment vertical="center" wrapText="1" readingOrder="1"/>
    </xf>
    <xf numFmtId="0" fontId="3" fillId="0" borderId="0" xfId="0" applyFont="1" applyAlignment="1">
      <alignment readingOrder="1"/>
    </xf>
    <xf numFmtId="0" fontId="11" fillId="8" borderId="6" xfId="0" applyFont="1" applyFill="1" applyBorder="1" applyAlignment="1">
      <alignment vertical="center" wrapText="1" readingOrder="1"/>
    </xf>
    <xf numFmtId="0" fontId="12" fillId="0" borderId="6" xfId="0" applyFont="1" applyBorder="1" applyAlignment="1">
      <alignment vertical="center" wrapText="1"/>
    </xf>
    <xf numFmtId="0" fontId="13" fillId="7" borderId="6" xfId="0" applyFont="1" applyFill="1" applyBorder="1"/>
    <xf numFmtId="0" fontId="11" fillId="7" borderId="0" xfId="0" applyFont="1" applyFill="1" applyAlignment="1">
      <alignment vertical="center"/>
    </xf>
    <xf numFmtId="0" fontId="12" fillId="7" borderId="6" xfId="0" applyFont="1" applyFill="1" applyBorder="1" applyAlignment="1">
      <alignment vertical="center" wrapText="1"/>
    </xf>
    <xf numFmtId="0" fontId="12" fillId="7" borderId="0" xfId="0" applyFont="1" applyFill="1" applyAlignment="1">
      <alignment vertical="center"/>
    </xf>
    <xf numFmtId="0" fontId="12" fillId="0" borderId="6" xfId="0" applyFont="1" applyBorder="1" applyAlignment="1">
      <alignment vertical="center" wrapText="1" readingOrder="1"/>
    </xf>
    <xf numFmtId="0" fontId="11" fillId="5" borderId="6" xfId="0" applyFont="1" applyFill="1" applyBorder="1" applyAlignment="1">
      <alignment vertical="center" wrapText="1"/>
    </xf>
    <xf numFmtId="0" fontId="11" fillId="6" borderId="6" xfId="0" applyFont="1" applyFill="1" applyBorder="1" applyAlignment="1">
      <alignment vertical="center" wrapText="1"/>
    </xf>
    <xf numFmtId="0" fontId="11" fillId="4" borderId="7" xfId="0" applyFont="1" applyFill="1" applyBorder="1" applyAlignment="1">
      <alignment vertical="center" wrapText="1" readingOrder="1"/>
    </xf>
    <xf numFmtId="0" fontId="11" fillId="5" borderId="7" xfId="0" applyFont="1" applyFill="1" applyBorder="1" applyAlignment="1">
      <alignment vertical="center" wrapText="1"/>
    </xf>
    <xf numFmtId="0" fontId="11" fillId="6" borderId="7" xfId="0" applyFont="1" applyFill="1" applyBorder="1" applyAlignment="1">
      <alignment vertical="center" wrapText="1"/>
    </xf>
    <xf numFmtId="0" fontId="13" fillId="0" borderId="7" xfId="0" applyFont="1" applyBorder="1" applyAlignment="1">
      <alignment readingOrder="1"/>
    </xf>
    <xf numFmtId="0" fontId="12" fillId="7" borderId="7" xfId="0" applyFont="1" applyFill="1" applyBorder="1" applyAlignment="1">
      <alignment vertical="center" wrapText="1" readingOrder="1"/>
    </xf>
    <xf numFmtId="0" fontId="11" fillId="8" borderId="0" xfId="0" applyFont="1" applyFill="1" applyAlignment="1">
      <alignment vertical="center"/>
    </xf>
    <xf numFmtId="0" fontId="15" fillId="9" borderId="6" xfId="0" applyFont="1" applyFill="1" applyBorder="1" applyAlignment="1">
      <alignment vertical="center" wrapText="1" readingOrder="1"/>
    </xf>
    <xf numFmtId="0" fontId="11" fillId="9" borderId="6" xfId="0" applyFont="1" applyFill="1" applyBorder="1" applyAlignment="1">
      <alignment vertical="center" wrapText="1"/>
    </xf>
    <xf numFmtId="166" fontId="11" fillId="9" borderId="6" xfId="0" applyNumberFormat="1" applyFont="1" applyFill="1" applyBorder="1" applyAlignment="1">
      <alignment vertical="center" wrapText="1"/>
    </xf>
    <xf numFmtId="0" fontId="11" fillId="9" borderId="6" xfId="0" applyFont="1" applyFill="1" applyBorder="1" applyAlignment="1">
      <alignment vertical="center" wrapText="1" readingOrder="1"/>
    </xf>
    <xf numFmtId="4" fontId="11" fillId="9" borderId="6" xfId="0" applyNumberFormat="1" applyFont="1" applyFill="1" applyBorder="1" applyAlignment="1">
      <alignment vertical="center" wrapText="1"/>
    </xf>
    <xf numFmtId="0" fontId="3" fillId="9" borderId="6" xfId="0" applyFont="1" applyFill="1" applyBorder="1" applyAlignment="1">
      <alignment horizontal="left" readingOrder="1"/>
    </xf>
    <xf numFmtId="0" fontId="12" fillId="9" borderId="6" xfId="0" applyFont="1" applyFill="1" applyBorder="1" applyAlignment="1">
      <alignment vertical="center" wrapText="1"/>
    </xf>
    <xf numFmtId="0" fontId="12" fillId="8" borderId="0" xfId="0" applyFont="1" applyFill="1" applyAlignment="1">
      <alignment vertical="center"/>
    </xf>
    <xf numFmtId="0" fontId="16" fillId="0" borderId="0" xfId="0" applyFont="1" applyAlignment="1">
      <alignment vertical="bottom"/>
    </xf>
    <xf numFmtId="0" fontId="17" fillId="0" borderId="0" xfId="0" applyFont="1" applyAlignment="1">
      <alignment vertical="bottom" readingOrder="1"/>
    </xf>
    <xf numFmtId="0" fontId="9" fillId="0" borderId="0" xfId="0" applyFont="1" applyAlignment="1">
      <alignment horizontal="left" vertical="bottom" wrapText="1"/>
    </xf>
    <xf numFmtId="0" fontId="14" fillId="0" borderId="8" xfId="0" applyFont="1" applyBorder="1" applyAlignment="1">
      <alignment horizontal="left" vertical="bottom" wrapText="1" readingOrder="1"/>
    </xf>
    <xf numFmtId="0" fontId="3" fillId="0" borderId="8" xfId="0" applyFont="1" applyBorder="1"/>
    <xf numFmtId="0" fontId="18" fillId="0" borderId="9" xfId="0" applyFont="1" applyBorder="1" applyAlignment="1">
      <alignment horizontal="left" vertical="bottom" wrapText="1" readingOrder="1"/>
    </xf>
    <xf numFmtId="0" fontId="3" fillId="0" borderId="9" xfId="0" applyFont="1" applyBorder="1"/>
    <xf numFmtId="0" fontId="19" fillId="0" borderId="9" xfId="0" applyFont="1" applyBorder="1" applyAlignment="1">
      <alignment horizontal="left" vertical="bottom" wrapText="1" readingOrder="1"/>
    </xf>
    <xf numFmtId="0" fontId="19" fillId="0" borderId="9" xfId="0" applyFont="1" applyBorder="1" applyAlignment="1">
      <alignment horizontal="left" vertical="bottom" wrapText="1"/>
    </xf>
    <xf numFmtId="0" fontId="11" fillId="2" borderId="0" xfId="0" applyFont="1" applyFill="1" applyAlignment="1">
      <alignment vertical="center" wrapText="1"/>
    </xf>
    <xf numFmtId="0" fontId="20" fillId="0" borderId="0" xfId="0" applyFont="1"/>
  </cellXfs>
  <cellStyles count="1">
    <cellStyle name="Normal" xfId="0" builtinId="0"/>
  </cellStyles>
  <dxfs count="12">
    <dxf>
      <font>
        <color rgb="FF38761D"/>
      </font>
      <fill>
        <patternFill patternType="solid">
          <fgColor rgb="FF93C47D"/>
          <bgColor rgb="FF93C47D"/>
        </patternFill>
      </fill>
      <border>
        <left/>
        <right/>
        <top/>
        <bottom/>
        <diagonal/>
      </border>
    </dxf>
    <dxf>
      <font>
        <color rgb="FF0B5394"/>
      </font>
      <fill>
        <patternFill patternType="solid">
          <fgColor rgb="FF9FC5E8"/>
          <bgColor rgb="FF9FC5E8"/>
        </patternFill>
      </fill>
      <border>
        <left/>
        <right/>
        <top/>
        <bottom/>
        <diagonal/>
      </border>
    </dxf>
    <dxf>
      <font>
        <color rgb="FFFF9900"/>
      </font>
      <fill>
        <patternFill patternType="solid">
          <fgColor rgb="FFF9CB9C"/>
          <bgColor rgb="FFF9CB9C"/>
        </patternFill>
      </fill>
      <border>
        <left/>
        <right/>
        <top/>
        <bottom/>
        <diagonal/>
      </border>
    </dxf>
    <dxf>
      <font>
        <color rgb="FF38761D"/>
      </font>
      <fill>
        <patternFill patternType="solid">
          <fgColor rgb="FF93C47D"/>
          <bgColor rgb="FF93C47D"/>
        </patternFill>
      </fill>
      <border>
        <left/>
        <right/>
        <top/>
        <bottom/>
        <diagonal/>
      </border>
    </dxf>
    <dxf>
      <font>
        <color rgb="FF0B5394"/>
      </font>
      <fill>
        <patternFill patternType="solid">
          <fgColor rgb="FF9FC5E8"/>
          <bgColor rgb="FF9FC5E8"/>
        </patternFill>
      </fill>
      <border>
        <left/>
        <right/>
        <top/>
        <bottom/>
        <diagonal/>
      </border>
    </dxf>
    <dxf>
      <font>
        <color rgb="FFB45F06"/>
      </font>
      <fill>
        <patternFill patternType="solid">
          <fgColor rgb="FFF9CB9C"/>
          <bgColor rgb="FFF9CB9C"/>
        </patternFill>
      </fill>
      <border>
        <left/>
        <right/>
        <top/>
        <bottom/>
        <diagonal/>
      </border>
    </dxf>
    <dxf>
      <font>
        <color rgb="FF38761D"/>
      </font>
      <fill>
        <patternFill patternType="solid">
          <fgColor rgb="FFB6D7A8"/>
          <bgColor rgb="FFB6D7A8"/>
        </patternFill>
      </fill>
      <border>
        <left/>
        <right/>
        <top/>
        <bottom/>
        <diagonal/>
      </border>
    </dxf>
    <dxf>
      <font>
        <color rgb="FF0B5394"/>
      </font>
      <fill>
        <patternFill patternType="solid">
          <fgColor rgb="FF9FC5E8"/>
          <bgColor rgb="FF9FC5E8"/>
        </patternFill>
      </fill>
      <border>
        <left/>
        <right/>
        <top/>
        <bottom/>
        <diagonal/>
      </border>
    </dxf>
    <dxf>
      <font>
        <color rgb="FFB45F06"/>
      </font>
      <fill>
        <patternFill patternType="solid">
          <fgColor rgb="FFF9CB9C"/>
          <bgColor rgb="FFF9CB9C"/>
        </patternFill>
      </fill>
      <border>
        <left/>
        <right/>
        <top/>
        <bottom/>
        <diagonal/>
      </border>
    </dxf>
    <dxf>
      <font>
        <color rgb="FF38761D"/>
      </font>
      <fill>
        <patternFill patternType="solid">
          <fgColor rgb="FFB6D7A8"/>
          <bgColor rgb="FFB6D7A8"/>
        </patternFill>
      </fill>
      <border>
        <left/>
        <right/>
        <top/>
        <bottom/>
        <diagonal/>
      </border>
    </dxf>
    <dxf>
      <font>
        <color rgb="FF0B5394"/>
      </font>
      <fill>
        <patternFill patternType="solid">
          <fgColor rgb="FF9FC5E8"/>
          <bgColor rgb="FF9FC5E8"/>
        </patternFill>
      </fill>
      <border>
        <left/>
        <right/>
        <top/>
        <bottom/>
        <diagonal/>
      </border>
    </dxf>
    <dxf>
      <font>
        <color rgb="FFB45F06"/>
      </font>
      <fill>
        <patternFill patternType="solid">
          <fgColor rgb="FFF9CB9C"/>
          <bgColor rgb="FFF9CB9C"/>
        </patternFill>
      </fill>
      <border>
        <left/>
        <right/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0" summaryRight="0"/>
  </sheetPr>
  <dimension ref="A1:Y49"/>
  <sheetViews>
    <sheetView workbookViewId="0" showGridLines="0" zoomScale="100" zoomScaleNormal="100">
      <pane ySplit="2" topLeftCell="A3" activePane="bottomLeft" state="frozen"/>
      <selection pane="bottomLeft" activeCell="B4" sqref="B4"/>
    </sheetView>
  </sheetViews>
  <sheetFormatPr defaultRowHeight="15.75" outlineLevelRow="0" outlineLevelCol="0" x14ac:dyDescent="0" defaultColWidth="12.63" customHeight="1"/>
  <cols>
    <col min="1" max="1" width="2.63" customWidth="1"/>
    <col min="2" max="2" width="25.63" customWidth="1"/>
    <col min="3" max="17" width="18.88" customWidth="1"/>
    <col min="18" max="19" width="25.75" customWidth="1"/>
    <col min="20" max="21" width="18.88" customWidth="1"/>
    <col min="22" max="22" width="45.88" customWidth="1"/>
    <col min="23" max="23" width="2.63" customWidth="1"/>
  </cols>
  <sheetData>
    <row r="1" ht="6" customHeight="1" spans="1:23" x14ac:dyDescent="0.25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4"/>
      <c r="U1" s="4"/>
      <c r="V1" s="4"/>
      <c r="W1" s="5"/>
    </row>
    <row r="2" ht="6" customHeight="1" spans="1:23" x14ac:dyDescent="0.25">
      <c r="A2" s="6"/>
      <c r="B2" s="7" t="s">
        <v>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s="8"/>
    </row>
    <row r="3" ht="36" customHeight="1" spans="1:23" x14ac:dyDescent="0.25">
      <c r="A3" s="9"/>
      <c r="B3" s="10"/>
      <c r="C3" s="11" t="s">
        <v>1</v>
      </c>
      <c r="D3"/>
      <c r="E3"/>
      <c r="F3"/>
      <c r="G3"/>
      <c r="H3" s="12" t="s">
        <v>2</v>
      </c>
      <c r="I3"/>
      <c r="J3"/>
      <c r="K3"/>
      <c r="L3"/>
      <c r="M3" s="13" t="s">
        <v>3</v>
      </c>
      <c r="N3"/>
      <c r="O3"/>
      <c r="P3"/>
      <c r="Q3"/>
      <c r="R3" s="14"/>
      <c r="S3" s="14"/>
      <c r="T3" s="14"/>
      <c r="U3" s="14"/>
      <c r="V3" s="14"/>
      <c r="W3" s="9"/>
    </row>
    <row r="4" ht="22.5" customHeight="1" spans="1:23" x14ac:dyDescent="0.25">
      <c r="A4" s="15"/>
      <c r="B4" s="16" t="s">
        <v>4</v>
      </c>
      <c r="C4" s="17" t="s">
        <v>5</v>
      </c>
      <c r="D4" s="17" t="s">
        <v>6</v>
      </c>
      <c r="E4" s="17" t="s">
        <v>7</v>
      </c>
      <c r="F4" s="17" t="s">
        <v>8</v>
      </c>
      <c r="G4" s="17" t="s">
        <v>9</v>
      </c>
      <c r="H4" s="18" t="s">
        <v>10</v>
      </c>
      <c r="I4" s="18" t="s">
        <v>11</v>
      </c>
      <c r="J4" s="18" t="s">
        <v>12</v>
      </c>
      <c r="K4" s="18" t="s">
        <v>13</v>
      </c>
      <c r="L4" s="18" t="s">
        <v>14</v>
      </c>
      <c r="M4" s="19" t="s">
        <v>15</v>
      </c>
      <c r="N4" s="19" t="s">
        <v>16</v>
      </c>
      <c r="O4" s="19" t="s">
        <v>17</v>
      </c>
      <c r="P4" s="19" t="s">
        <v>18</v>
      </c>
      <c r="Q4" s="19" t="s">
        <v>19</v>
      </c>
      <c r="R4" s="16" t="s">
        <v>20</v>
      </c>
      <c r="S4" s="16" t="s">
        <v>21</v>
      </c>
      <c r="T4" s="16" t="s">
        <v>22</v>
      </c>
      <c r="U4" s="16" t="s">
        <v>23</v>
      </c>
      <c r="V4" s="16" t="s">
        <v>24</v>
      </c>
      <c r="W4" s="15"/>
    </row>
    <row r="5" ht="22.5" customHeight="1" spans="1:25" x14ac:dyDescent="0.25">
      <c r="A5" s="20"/>
      <c r="B5" s="21" t="s">
        <v>25</v>
      </c>
      <c r="C5" s="22">
        <v>1</v>
      </c>
      <c r="D5" s="23">
        <v>15000</v>
      </c>
      <c r="E5" s="22" t="s">
        <v>26</v>
      </c>
      <c r="F5" s="23">
        <v>15000</v>
      </c>
      <c r="G5" s="23">
        <v>0</v>
      </c>
      <c r="H5" s="24">
        <v>0</v>
      </c>
      <c r="I5" s="25">
        <v>0</v>
      </c>
      <c r="J5" s="24" t="s">
        <v>26</v>
      </c>
      <c r="K5" s="25">
        <v>0</v>
      </c>
      <c r="L5" s="25">
        <v>0</v>
      </c>
      <c r="M5" s="26">
        <v>0</v>
      </c>
      <c r="N5" s="27">
        <v>0</v>
      </c>
      <c r="O5" s="26" t="s">
        <v>26</v>
      </c>
      <c r="P5" s="27">
        <v>0</v>
      </c>
      <c r="Q5" s="27">
        <v>0</v>
      </c>
      <c r="R5" s="28">
        <v>15000</v>
      </c>
      <c r="S5" s="21" t="s">
        <v>26</v>
      </c>
      <c r="T5" s="29">
        <v>15000</v>
      </c>
      <c r="U5" s="28">
        <v>0</v>
      </c>
      <c r="V5" s="30"/>
      <c r="W5" s="31" t="s">
        <v>27</v>
      </c>
      <c r="X5" t="s">
        <v>28</v>
      </c>
      <c r="Y5" t="s">
        <v>28</v>
      </c>
    </row>
    <row r="6" ht="22.5" customHeight="1" spans="1:25" x14ac:dyDescent="0.25">
      <c r="A6" s="20"/>
      <c r="B6" s="21" t="s">
        <v>29</v>
      </c>
      <c r="C6" s="22">
        <v>4</v>
      </c>
      <c r="D6" s="23">
        <v>60000</v>
      </c>
      <c r="E6" s="22" t="s">
        <v>26</v>
      </c>
      <c r="F6" s="23">
        <v>60000</v>
      </c>
      <c r="G6" s="23">
        <v>0</v>
      </c>
      <c r="H6" s="24">
        <v>0</v>
      </c>
      <c r="I6" s="25">
        <v>0</v>
      </c>
      <c r="J6" s="24" t="s">
        <v>30</v>
      </c>
      <c r="K6" s="25">
        <v>0</v>
      </c>
      <c r="L6" s="25">
        <v>0</v>
      </c>
      <c r="M6" s="26">
        <v>0</v>
      </c>
      <c r="N6" s="27">
        <v>0</v>
      </c>
      <c r="O6" s="26" t="s">
        <v>30</v>
      </c>
      <c r="P6" s="27">
        <v>0</v>
      </c>
      <c r="Q6" s="27">
        <v>0</v>
      </c>
      <c r="R6" s="28">
        <v>60000</v>
      </c>
      <c r="S6" s="21" t="s">
        <v>26</v>
      </c>
      <c r="T6" s="29">
        <v>60000</v>
      </c>
      <c r="U6" s="28">
        <v>0</v>
      </c>
      <c r="V6" s="30"/>
      <c r="W6" s="31" t="s">
        <v>31</v>
      </c>
      <c r="X6" t="s">
        <v>28</v>
      </c>
      <c r="Y6" t="s">
        <v>28</v>
      </c>
    </row>
    <row r="7" ht="22.5" customHeight="1" spans="1:25" x14ac:dyDescent="0.25">
      <c r="A7" s="32"/>
      <c r="B7" s="21" t="s">
        <v>32</v>
      </c>
      <c r="C7" s="33">
        <v>1</v>
      </c>
      <c r="D7" s="23">
        <v>15000</v>
      </c>
      <c r="E7" s="22" t="s">
        <v>26</v>
      </c>
      <c r="F7" s="23">
        <v>15000</v>
      </c>
      <c r="G7" s="23">
        <v>0</v>
      </c>
      <c r="H7" s="34">
        <v>0</v>
      </c>
      <c r="I7" s="25">
        <v>0</v>
      </c>
      <c r="J7" s="24" t="s">
        <v>30</v>
      </c>
      <c r="K7" s="25">
        <v>0</v>
      </c>
      <c r="L7" s="25">
        <v>0</v>
      </c>
      <c r="M7" s="35">
        <v>0</v>
      </c>
      <c r="N7" s="27">
        <v>0</v>
      </c>
      <c r="O7" s="26" t="s">
        <v>30</v>
      </c>
      <c r="P7" s="27">
        <v>0</v>
      </c>
      <c r="Q7" s="27">
        <v>0</v>
      </c>
      <c r="R7" s="28">
        <v>15000</v>
      </c>
      <c r="S7" s="36" t="s">
        <v>26</v>
      </c>
      <c r="T7" s="29">
        <v>15000</v>
      </c>
      <c r="U7" s="28">
        <v>0</v>
      </c>
      <c r="V7" s="30"/>
      <c r="W7" s="32" t="s">
        <v>33</v>
      </c>
      <c r="X7" t="s">
        <v>28</v>
      </c>
      <c r="Y7" t="s">
        <v>28</v>
      </c>
    </row>
    <row r="8" ht="22.5" customHeight="1" spans="1:25" x14ac:dyDescent="0.25">
      <c r="A8" s="20"/>
      <c r="B8" s="21" t="s">
        <v>34</v>
      </c>
      <c r="C8" s="22">
        <v>5</v>
      </c>
      <c r="D8" s="23">
        <v>75000</v>
      </c>
      <c r="E8" s="22" t="s">
        <v>26</v>
      </c>
      <c r="F8" s="23">
        <v>75000</v>
      </c>
      <c r="G8" s="23">
        <v>0</v>
      </c>
      <c r="H8" s="24">
        <v>0</v>
      </c>
      <c r="I8" s="25">
        <v>0</v>
      </c>
      <c r="J8" s="24" t="s">
        <v>30</v>
      </c>
      <c r="K8" s="25">
        <v>0</v>
      </c>
      <c r="L8" s="25">
        <v>0</v>
      </c>
      <c r="M8" s="26">
        <v>0</v>
      </c>
      <c r="N8" s="27">
        <v>0</v>
      </c>
      <c r="O8" s="26" t="s">
        <v>30</v>
      </c>
      <c r="P8" s="27">
        <v>0</v>
      </c>
      <c r="Q8" s="27">
        <v>0</v>
      </c>
      <c r="R8" s="28">
        <v>75000</v>
      </c>
      <c r="S8" s="37" t="s">
        <v>26</v>
      </c>
      <c r="T8" s="29">
        <v>75000</v>
      </c>
      <c r="U8" s="28">
        <v>0</v>
      </c>
      <c r="V8" s="30"/>
      <c r="W8" s="31" t="s">
        <v>35</v>
      </c>
      <c r="X8" t="s">
        <v>28</v>
      </c>
      <c r="Y8" t="s">
        <v>28</v>
      </c>
    </row>
    <row r="9" ht="22.5" customHeight="1" spans="1:25" x14ac:dyDescent="0.25">
      <c r="A9" s="32"/>
      <c r="B9" s="21" t="s">
        <v>36</v>
      </c>
      <c r="C9" s="33">
        <v>1</v>
      </c>
      <c r="D9" s="23">
        <v>15000</v>
      </c>
      <c r="E9" s="22" t="s">
        <v>26</v>
      </c>
      <c r="F9" s="23">
        <v>15000</v>
      </c>
      <c r="G9" s="23">
        <v>0</v>
      </c>
      <c r="H9" s="34">
        <v>0</v>
      </c>
      <c r="I9" s="25">
        <v>0</v>
      </c>
      <c r="J9" s="24" t="s">
        <v>30</v>
      </c>
      <c r="K9" s="25">
        <v>0</v>
      </c>
      <c r="L9" s="25">
        <v>0</v>
      </c>
      <c r="M9" s="35">
        <v>0</v>
      </c>
      <c r="N9" s="27">
        <v>0</v>
      </c>
      <c r="O9" s="26" t="s">
        <v>30</v>
      </c>
      <c r="P9" s="27">
        <v>0</v>
      </c>
      <c r="Q9" s="27">
        <v>0</v>
      </c>
      <c r="R9" s="28">
        <v>15000</v>
      </c>
      <c r="S9" s="36" t="s">
        <v>26</v>
      </c>
      <c r="T9" s="29">
        <v>15000</v>
      </c>
      <c r="U9" s="28">
        <v>0</v>
      </c>
      <c r="V9" s="30"/>
      <c r="W9" s="32" t="s">
        <v>33</v>
      </c>
      <c r="X9" t="s">
        <v>28</v>
      </c>
      <c r="Y9" t="s">
        <v>28</v>
      </c>
    </row>
    <row r="10" ht="22.5" customHeight="1" spans="1:25" x14ac:dyDescent="0.25">
      <c r="A10" s="20"/>
      <c r="B10" s="21" t="s">
        <v>37</v>
      </c>
      <c r="C10" s="22">
        <v>1</v>
      </c>
      <c r="D10" s="23">
        <v>15000</v>
      </c>
      <c r="E10" s="22" t="s">
        <v>26</v>
      </c>
      <c r="F10" s="23">
        <v>15000</v>
      </c>
      <c r="G10" s="23">
        <v>0</v>
      </c>
      <c r="H10" s="24">
        <v>0</v>
      </c>
      <c r="I10" s="25">
        <v>0</v>
      </c>
      <c r="J10" s="24" t="s">
        <v>30</v>
      </c>
      <c r="K10" s="25">
        <v>0</v>
      </c>
      <c r="L10" s="25">
        <v>0</v>
      </c>
      <c r="M10" s="26">
        <v>0</v>
      </c>
      <c r="N10" s="27">
        <v>0</v>
      </c>
      <c r="O10" s="26" t="s">
        <v>30</v>
      </c>
      <c r="P10" s="27">
        <v>0</v>
      </c>
      <c r="Q10" s="27">
        <v>0</v>
      </c>
      <c r="R10" s="28">
        <v>15000</v>
      </c>
      <c r="S10" s="37" t="s">
        <v>26</v>
      </c>
      <c r="T10" s="29">
        <v>15000</v>
      </c>
      <c r="U10" s="28">
        <v>0</v>
      </c>
      <c r="V10" s="30"/>
      <c r="W10" s="31" t="s">
        <v>33</v>
      </c>
      <c r="X10" t="s">
        <v>28</v>
      </c>
      <c r="Y10" t="s">
        <v>28</v>
      </c>
    </row>
    <row r="11" ht="22.5" customHeight="1" spans="1:25" x14ac:dyDescent="0.25">
      <c r="A11" s="32"/>
      <c r="B11" s="21" t="s">
        <v>38</v>
      </c>
      <c r="C11" s="33">
        <v>4</v>
      </c>
      <c r="D11" s="23">
        <v>60000</v>
      </c>
      <c r="E11" s="22" t="s">
        <v>26</v>
      </c>
      <c r="F11" s="23">
        <v>60000</v>
      </c>
      <c r="G11" s="23">
        <v>0</v>
      </c>
      <c r="H11" s="34">
        <v>0</v>
      </c>
      <c r="I11" s="25">
        <v>0</v>
      </c>
      <c r="J11" s="24" t="s">
        <v>30</v>
      </c>
      <c r="K11" s="25">
        <v>0</v>
      </c>
      <c r="L11" s="25">
        <v>0</v>
      </c>
      <c r="M11" s="35">
        <v>0</v>
      </c>
      <c r="N11" s="27">
        <v>0</v>
      </c>
      <c r="O11" s="26" t="s">
        <v>30</v>
      </c>
      <c r="P11" s="27">
        <v>0</v>
      </c>
      <c r="Q11" s="27">
        <v>0</v>
      </c>
      <c r="R11" s="28">
        <v>60000</v>
      </c>
      <c r="S11" s="36" t="s">
        <v>26</v>
      </c>
      <c r="T11" s="29">
        <v>60000</v>
      </c>
      <c r="U11" s="28">
        <v>0</v>
      </c>
      <c r="V11" s="30"/>
      <c r="W11" s="32" t="s">
        <v>31</v>
      </c>
      <c r="X11" t="s">
        <v>28</v>
      </c>
      <c r="Y11" t="s">
        <v>28</v>
      </c>
    </row>
    <row r="12" ht="22.5" customHeight="1" spans="1:25" x14ac:dyDescent="0.25">
      <c r="A12" s="20"/>
      <c r="B12" s="21" t="s">
        <v>39</v>
      </c>
      <c r="C12" s="22">
        <v>1</v>
      </c>
      <c r="D12" s="23">
        <v>15000</v>
      </c>
      <c r="E12" s="22" t="s">
        <v>26</v>
      </c>
      <c r="F12" s="23">
        <v>15000</v>
      </c>
      <c r="G12" s="23">
        <v>0</v>
      </c>
      <c r="H12" s="24">
        <v>0</v>
      </c>
      <c r="I12" s="25">
        <v>0</v>
      </c>
      <c r="J12" s="24" t="s">
        <v>30</v>
      </c>
      <c r="K12" s="25">
        <v>0</v>
      </c>
      <c r="L12" s="25">
        <v>0</v>
      </c>
      <c r="M12" s="26">
        <v>0</v>
      </c>
      <c r="N12" s="27">
        <v>0</v>
      </c>
      <c r="O12" s="26" t="s">
        <v>30</v>
      </c>
      <c r="P12" s="27">
        <v>0</v>
      </c>
      <c r="Q12" s="27">
        <v>0</v>
      </c>
      <c r="R12" s="28">
        <v>15000</v>
      </c>
      <c r="S12" s="37" t="s">
        <v>26</v>
      </c>
      <c r="T12" s="29">
        <v>15000</v>
      </c>
      <c r="U12" s="28">
        <v>0</v>
      </c>
      <c r="V12" s="30"/>
      <c r="W12" s="31" t="s">
        <v>33</v>
      </c>
      <c r="X12" t="s">
        <v>28</v>
      </c>
      <c r="Y12" t="s">
        <v>28</v>
      </c>
    </row>
    <row r="13" ht="22.5" customHeight="1" spans="1:25" x14ac:dyDescent="0.25">
      <c r="A13" s="32"/>
      <c r="B13" s="21" t="s">
        <v>40</v>
      </c>
      <c r="C13" s="33">
        <v>3</v>
      </c>
      <c r="D13" s="23">
        <v>45000</v>
      </c>
      <c r="E13" s="22" t="s">
        <v>26</v>
      </c>
      <c r="F13" s="23">
        <v>45000</v>
      </c>
      <c r="G13" s="23">
        <v>0</v>
      </c>
      <c r="H13" s="34">
        <v>0</v>
      </c>
      <c r="I13" s="25">
        <v>0</v>
      </c>
      <c r="J13" s="24" t="s">
        <v>30</v>
      </c>
      <c r="K13" s="25">
        <v>0</v>
      </c>
      <c r="L13" s="25">
        <v>0</v>
      </c>
      <c r="M13" s="35">
        <v>0</v>
      </c>
      <c r="N13" s="27">
        <v>0</v>
      </c>
      <c r="O13" s="26" t="s">
        <v>30</v>
      </c>
      <c r="P13" s="27">
        <v>0</v>
      </c>
      <c r="Q13" s="27">
        <v>0</v>
      </c>
      <c r="R13" s="28">
        <v>45000</v>
      </c>
      <c r="S13" s="36" t="s">
        <v>26</v>
      </c>
      <c r="T13" s="29">
        <v>45000</v>
      </c>
      <c r="U13" s="28">
        <v>0</v>
      </c>
      <c r="V13" s="30"/>
      <c r="W13" s="32" t="s">
        <v>41</v>
      </c>
      <c r="X13" t="s">
        <v>28</v>
      </c>
      <c r="Y13" t="s">
        <v>28</v>
      </c>
    </row>
    <row r="14" ht="22.5" customHeight="1" spans="1:25" x14ac:dyDescent="0.25">
      <c r="A14" s="20"/>
      <c r="B14" s="21" t="s">
        <v>42</v>
      </c>
      <c r="C14" s="22">
        <v>1</v>
      </c>
      <c r="D14" s="23">
        <v>15000</v>
      </c>
      <c r="E14" s="22" t="s">
        <v>26</v>
      </c>
      <c r="F14" s="23">
        <v>15000</v>
      </c>
      <c r="G14" s="23">
        <v>0</v>
      </c>
      <c r="H14" s="24">
        <v>0</v>
      </c>
      <c r="I14" s="25">
        <v>0</v>
      </c>
      <c r="J14" s="24" t="s">
        <v>30</v>
      </c>
      <c r="K14" s="25">
        <v>0</v>
      </c>
      <c r="L14" s="25">
        <v>0</v>
      </c>
      <c r="M14" s="26">
        <v>0</v>
      </c>
      <c r="N14" s="27">
        <v>0</v>
      </c>
      <c r="O14" s="26" t="s">
        <v>30</v>
      </c>
      <c r="P14" s="27">
        <v>0</v>
      </c>
      <c r="Q14" s="27">
        <v>0</v>
      </c>
      <c r="R14" s="28">
        <v>15000</v>
      </c>
      <c r="S14" s="37" t="s">
        <v>26</v>
      </c>
      <c r="T14" s="29">
        <v>15000</v>
      </c>
      <c r="U14" s="28">
        <v>0</v>
      </c>
      <c r="V14" s="30"/>
      <c r="W14" s="31" t="s">
        <v>33</v>
      </c>
      <c r="X14" t="s">
        <v>28</v>
      </c>
      <c r="Y14" t="s">
        <v>28</v>
      </c>
    </row>
    <row r="15" ht="22.5" customHeight="1" spans="1:25" x14ac:dyDescent="0.25">
      <c r="A15" s="32"/>
      <c r="B15" s="21" t="s">
        <v>43</v>
      </c>
      <c r="C15" s="33">
        <v>2</v>
      </c>
      <c r="D15" s="23">
        <v>30000</v>
      </c>
      <c r="E15" s="22" t="s">
        <v>26</v>
      </c>
      <c r="F15" s="23">
        <v>30000</v>
      </c>
      <c r="G15" s="23">
        <v>0</v>
      </c>
      <c r="H15" s="34">
        <v>0</v>
      </c>
      <c r="I15" s="25">
        <v>0</v>
      </c>
      <c r="J15" s="24" t="s">
        <v>30</v>
      </c>
      <c r="K15" s="25">
        <v>0</v>
      </c>
      <c r="L15" s="25">
        <v>0</v>
      </c>
      <c r="M15" s="35">
        <v>0</v>
      </c>
      <c r="N15" s="27">
        <v>0</v>
      </c>
      <c r="O15" s="26" t="s">
        <v>30</v>
      </c>
      <c r="P15" s="27">
        <v>0</v>
      </c>
      <c r="Q15" s="27">
        <v>0</v>
      </c>
      <c r="R15" s="28">
        <v>30000</v>
      </c>
      <c r="S15" s="36" t="s">
        <v>26</v>
      </c>
      <c r="T15" s="29">
        <v>30000</v>
      </c>
      <c r="U15" s="28">
        <v>0</v>
      </c>
      <c r="V15" s="30"/>
      <c r="W15" s="32" t="s">
        <v>44</v>
      </c>
      <c r="X15" t="s">
        <v>28</v>
      </c>
      <c r="Y15" t="s">
        <v>28</v>
      </c>
    </row>
    <row r="16" ht="22.5" customHeight="1" spans="1:25" x14ac:dyDescent="0.25">
      <c r="A16" s="20"/>
      <c r="B16" s="21" t="s">
        <v>45</v>
      </c>
      <c r="C16" s="22">
        <v>3</v>
      </c>
      <c r="D16" s="23">
        <v>45000</v>
      </c>
      <c r="E16" s="22" t="s">
        <v>26</v>
      </c>
      <c r="F16" s="23">
        <v>45000</v>
      </c>
      <c r="G16" s="23">
        <v>0</v>
      </c>
      <c r="H16" s="24">
        <v>0</v>
      </c>
      <c r="I16" s="25">
        <v>0</v>
      </c>
      <c r="J16" s="24" t="s">
        <v>30</v>
      </c>
      <c r="K16" s="25">
        <v>0</v>
      </c>
      <c r="L16" s="25">
        <v>0</v>
      </c>
      <c r="M16" s="26">
        <v>0</v>
      </c>
      <c r="N16" s="27">
        <v>0</v>
      </c>
      <c r="O16" s="26" t="s">
        <v>30</v>
      </c>
      <c r="P16" s="27">
        <v>0</v>
      </c>
      <c r="Q16" s="27">
        <v>0</v>
      </c>
      <c r="R16" s="28">
        <v>45000</v>
      </c>
      <c r="S16" s="37" t="s">
        <v>26</v>
      </c>
      <c r="T16" s="29">
        <v>45000</v>
      </c>
      <c r="U16" s="28">
        <v>0</v>
      </c>
      <c r="V16" s="30"/>
      <c r="W16" s="31" t="s">
        <v>41</v>
      </c>
      <c r="X16" t="s">
        <v>28</v>
      </c>
      <c r="Y16" t="s">
        <v>28</v>
      </c>
    </row>
    <row r="17" ht="22.5" customHeight="1" spans="1:25" x14ac:dyDescent="0.25">
      <c r="A17" s="32"/>
      <c r="B17" s="21" t="s">
        <v>46</v>
      </c>
      <c r="C17" s="33">
        <v>2</v>
      </c>
      <c r="D17" s="23">
        <v>30000</v>
      </c>
      <c r="E17" s="22" t="s">
        <v>26</v>
      </c>
      <c r="F17" s="23">
        <v>30000</v>
      </c>
      <c r="G17" s="23">
        <v>0</v>
      </c>
      <c r="H17" s="34">
        <v>0</v>
      </c>
      <c r="I17" s="25">
        <v>0</v>
      </c>
      <c r="J17" s="24" t="s">
        <v>30</v>
      </c>
      <c r="K17" s="25">
        <v>0</v>
      </c>
      <c r="L17" s="25">
        <v>0</v>
      </c>
      <c r="M17" s="35">
        <v>0</v>
      </c>
      <c r="N17" s="27">
        <v>0</v>
      </c>
      <c r="O17" s="26" t="s">
        <v>30</v>
      </c>
      <c r="P17" s="27">
        <v>0</v>
      </c>
      <c r="Q17" s="27">
        <v>0</v>
      </c>
      <c r="R17" s="28">
        <v>30000</v>
      </c>
      <c r="S17" s="38" t="s">
        <v>26</v>
      </c>
      <c r="T17" s="29">
        <v>30000</v>
      </c>
      <c r="U17" s="28">
        <v>0</v>
      </c>
      <c r="V17" s="30"/>
      <c r="W17" s="32" t="s">
        <v>44</v>
      </c>
      <c r="X17" t="s">
        <v>28</v>
      </c>
      <c r="Y17" t="s">
        <v>28</v>
      </c>
    </row>
    <row r="18" ht="22.5" customHeight="1" spans="1:25" x14ac:dyDescent="0.25">
      <c r="A18" s="20"/>
      <c r="B18" s="21" t="s">
        <v>47</v>
      </c>
      <c r="C18" s="22">
        <v>2</v>
      </c>
      <c r="D18" s="23">
        <v>30000</v>
      </c>
      <c r="E18" s="22" t="s">
        <v>30</v>
      </c>
      <c r="F18" s="23">
        <v>0</v>
      </c>
      <c r="G18" s="23">
        <v>30000</v>
      </c>
      <c r="H18" s="24">
        <v>0</v>
      </c>
      <c r="I18" s="25">
        <v>0</v>
      </c>
      <c r="J18" s="24" t="s">
        <v>30</v>
      </c>
      <c r="K18" s="25">
        <v>0</v>
      </c>
      <c r="L18" s="25">
        <v>0</v>
      </c>
      <c r="M18" s="26">
        <v>0</v>
      </c>
      <c r="N18" s="27">
        <v>0</v>
      </c>
      <c r="O18" s="26" t="s">
        <v>30</v>
      </c>
      <c r="P18" s="27">
        <v>0</v>
      </c>
      <c r="Q18" s="27">
        <v>0</v>
      </c>
      <c r="R18" s="28">
        <v>30000</v>
      </c>
      <c r="S18" s="36" t="s">
        <v>30</v>
      </c>
      <c r="T18" s="29">
        <v>0</v>
      </c>
      <c r="U18" s="28">
        <v>30000</v>
      </c>
      <c r="V18" s="39"/>
      <c r="W18" s="31" t="s">
        <v>44</v>
      </c>
      <c r="X18" t="s">
        <v>28</v>
      </c>
      <c r="Y18" t="s">
        <v>28</v>
      </c>
    </row>
    <row r="19" ht="22.5" customHeight="1" spans="1:25" x14ac:dyDescent="0.25">
      <c r="A19" s="20"/>
      <c r="B19" s="21" t="s">
        <v>48</v>
      </c>
      <c r="C19" s="22">
        <v>1</v>
      </c>
      <c r="D19" s="23">
        <v>15000</v>
      </c>
      <c r="E19" s="22" t="s">
        <v>26</v>
      </c>
      <c r="F19" s="23">
        <v>15000</v>
      </c>
      <c r="G19" s="23">
        <v>0</v>
      </c>
      <c r="H19" s="24">
        <v>0</v>
      </c>
      <c r="I19" s="25">
        <v>0</v>
      </c>
      <c r="J19" s="24" t="s">
        <v>30</v>
      </c>
      <c r="K19" s="25">
        <v>0</v>
      </c>
      <c r="L19" s="25">
        <v>0</v>
      </c>
      <c r="M19" s="26">
        <v>0</v>
      </c>
      <c r="N19" s="27">
        <v>0</v>
      </c>
      <c r="O19" s="26" t="s">
        <v>30</v>
      </c>
      <c r="P19" s="27">
        <v>0</v>
      </c>
      <c r="Q19" s="27">
        <v>0</v>
      </c>
      <c r="R19" s="28">
        <v>15000</v>
      </c>
      <c r="S19" s="36" t="s">
        <v>26</v>
      </c>
      <c r="T19" s="29">
        <v>15000</v>
      </c>
      <c r="U19" s="28">
        <v>0</v>
      </c>
      <c r="V19" s="21"/>
      <c r="W19" s="31" t="s">
        <v>33</v>
      </c>
      <c r="X19" t="s">
        <v>28</v>
      </c>
      <c r="Y19" t="s">
        <v>28</v>
      </c>
    </row>
    <row r="20" ht="22.5" customHeight="1" spans="1:25" x14ac:dyDescent="0.25">
      <c r="A20" s="20"/>
      <c r="B20" s="21" t="s">
        <v>49</v>
      </c>
      <c r="C20" s="22">
        <v>1</v>
      </c>
      <c r="D20" s="23">
        <v>15000</v>
      </c>
      <c r="E20" s="22" t="s">
        <v>26</v>
      </c>
      <c r="F20" s="23">
        <v>15000</v>
      </c>
      <c r="G20" s="23">
        <v>0</v>
      </c>
      <c r="H20" s="24">
        <v>0</v>
      </c>
      <c r="I20" s="25">
        <v>0</v>
      </c>
      <c r="J20" s="24" t="s">
        <v>30</v>
      </c>
      <c r="K20" s="25">
        <v>0</v>
      </c>
      <c r="L20" s="25">
        <v>0</v>
      </c>
      <c r="M20" s="26">
        <v>0</v>
      </c>
      <c r="N20" s="27">
        <v>0</v>
      </c>
      <c r="O20" s="26" t="s">
        <v>30</v>
      </c>
      <c r="P20" s="27">
        <v>0</v>
      </c>
      <c r="Q20" s="27">
        <v>0</v>
      </c>
      <c r="R20" s="28">
        <v>15000</v>
      </c>
      <c r="S20" s="37" t="s">
        <v>26</v>
      </c>
      <c r="T20" s="29">
        <v>15000</v>
      </c>
      <c r="U20" s="28">
        <v>0</v>
      </c>
      <c r="V20" s="40"/>
      <c r="W20" s="31" t="s">
        <v>33</v>
      </c>
      <c r="X20" t="s">
        <v>28</v>
      </c>
      <c r="Y20" t="s">
        <v>28</v>
      </c>
    </row>
    <row r="21" ht="22.5" customHeight="1" spans="1:25" x14ac:dyDescent="0.25">
      <c r="A21" s="32"/>
      <c r="B21" s="21" t="s">
        <v>50</v>
      </c>
      <c r="C21" s="33">
        <v>1</v>
      </c>
      <c r="D21" s="23">
        <v>15000</v>
      </c>
      <c r="E21" s="22" t="s">
        <v>51</v>
      </c>
      <c r="F21" s="23">
        <v>5000</v>
      </c>
      <c r="G21" s="23">
        <v>10000</v>
      </c>
      <c r="H21" s="34">
        <v>0</v>
      </c>
      <c r="I21" s="25">
        <v>0</v>
      </c>
      <c r="J21" s="24" t="s">
        <v>30</v>
      </c>
      <c r="K21" s="25">
        <v>0</v>
      </c>
      <c r="L21" s="25">
        <v>0</v>
      </c>
      <c r="M21" s="35">
        <v>0</v>
      </c>
      <c r="N21" s="27">
        <v>0</v>
      </c>
      <c r="O21" s="26" t="s">
        <v>30</v>
      </c>
      <c r="P21" s="27">
        <v>0</v>
      </c>
      <c r="Q21" s="27">
        <v>0</v>
      </c>
      <c r="R21" s="28">
        <v>15000</v>
      </c>
      <c r="S21" s="36" t="s">
        <v>51</v>
      </c>
      <c r="T21" s="29">
        <v>5000</v>
      </c>
      <c r="U21" s="28">
        <v>10000</v>
      </c>
      <c r="V21" s="41"/>
      <c r="W21" s="32" t="s">
        <v>33</v>
      </c>
      <c r="X21" t="s">
        <v>28</v>
      </c>
      <c r="Y21" t="s">
        <v>28</v>
      </c>
    </row>
    <row r="22" ht="22.5" customHeight="1" spans="1:25" x14ac:dyDescent="0.25">
      <c r="A22" s="20"/>
      <c r="B22" s="21" t="s">
        <v>52</v>
      </c>
      <c r="C22" s="22">
        <v>1</v>
      </c>
      <c r="D22" s="23">
        <v>15000</v>
      </c>
      <c r="E22" s="22" t="s">
        <v>26</v>
      </c>
      <c r="F22" s="23">
        <v>15000</v>
      </c>
      <c r="G22" s="23">
        <v>0</v>
      </c>
      <c r="H22" s="24">
        <v>0</v>
      </c>
      <c r="I22" s="25">
        <v>0</v>
      </c>
      <c r="J22" s="24" t="s">
        <v>30</v>
      </c>
      <c r="K22" s="25">
        <v>0</v>
      </c>
      <c r="L22" s="25">
        <v>0</v>
      </c>
      <c r="M22" s="26">
        <v>0</v>
      </c>
      <c r="N22" s="27">
        <v>0</v>
      </c>
      <c r="O22" s="26" t="s">
        <v>30</v>
      </c>
      <c r="P22" s="27">
        <v>0</v>
      </c>
      <c r="Q22" s="27">
        <v>0</v>
      </c>
      <c r="R22" s="28">
        <v>15000</v>
      </c>
      <c r="S22" s="36" t="s">
        <v>26</v>
      </c>
      <c r="T22" s="29">
        <v>15000</v>
      </c>
      <c r="U22" s="28">
        <v>0</v>
      </c>
      <c r="V22" s="37"/>
      <c r="W22" s="31" t="s">
        <v>33</v>
      </c>
      <c r="X22" t="s">
        <v>28</v>
      </c>
      <c r="Y22" t="s">
        <v>28</v>
      </c>
    </row>
    <row r="23" ht="22.5" customHeight="1" spans="1:25" x14ac:dyDescent="0.25">
      <c r="A23" s="20"/>
      <c r="B23" s="21" t="s">
        <v>53</v>
      </c>
      <c r="C23" s="22">
        <v>4</v>
      </c>
      <c r="D23" s="23">
        <v>60000</v>
      </c>
      <c r="E23" s="22" t="s">
        <v>26</v>
      </c>
      <c r="F23" s="23">
        <v>60000</v>
      </c>
      <c r="G23" s="23">
        <v>0</v>
      </c>
      <c r="H23" s="24">
        <v>0</v>
      </c>
      <c r="I23" s="25">
        <v>0</v>
      </c>
      <c r="J23" s="24" t="s">
        <v>30</v>
      </c>
      <c r="K23" s="25">
        <v>0</v>
      </c>
      <c r="L23" s="25">
        <v>0</v>
      </c>
      <c r="M23" s="26">
        <v>0</v>
      </c>
      <c r="N23" s="27">
        <v>0</v>
      </c>
      <c r="O23" s="26" t="s">
        <v>30</v>
      </c>
      <c r="P23" s="27">
        <v>0</v>
      </c>
      <c r="Q23" s="27">
        <v>0</v>
      </c>
      <c r="R23" s="28">
        <v>60000</v>
      </c>
      <c r="S23" s="36" t="s">
        <v>26</v>
      </c>
      <c r="T23" s="29">
        <v>60000</v>
      </c>
      <c r="U23" s="28">
        <v>0</v>
      </c>
      <c r="V23" s="30"/>
      <c r="W23" s="31" t="s">
        <v>31</v>
      </c>
      <c r="X23" t="s">
        <v>28</v>
      </c>
      <c r="Y23" t="s">
        <v>28</v>
      </c>
    </row>
    <row r="24" ht="22.5" customHeight="1" spans="1:25" x14ac:dyDescent="0.25">
      <c r="A24" s="20"/>
      <c r="B24" s="21" t="s">
        <v>54</v>
      </c>
      <c r="C24" s="22">
        <v>2</v>
      </c>
      <c r="D24" s="23">
        <v>30000</v>
      </c>
      <c r="E24" s="22" t="s">
        <v>26</v>
      </c>
      <c r="F24" s="23">
        <v>30000</v>
      </c>
      <c r="G24" s="23">
        <v>0</v>
      </c>
      <c r="H24" s="24">
        <v>0</v>
      </c>
      <c r="I24" s="25">
        <v>0</v>
      </c>
      <c r="J24" s="24" t="s">
        <v>30</v>
      </c>
      <c r="K24" s="25">
        <v>0</v>
      </c>
      <c r="L24" s="25">
        <v>0</v>
      </c>
      <c r="M24" s="26">
        <v>0</v>
      </c>
      <c r="N24" s="27">
        <v>0</v>
      </c>
      <c r="O24" s="26" t="s">
        <v>30</v>
      </c>
      <c r="P24" s="27">
        <v>0</v>
      </c>
      <c r="Q24" s="27">
        <v>0</v>
      </c>
      <c r="R24" s="28">
        <v>30000</v>
      </c>
      <c r="S24" s="36" t="s">
        <v>26</v>
      </c>
      <c r="T24" s="29">
        <v>30000</v>
      </c>
      <c r="U24" s="28">
        <v>0</v>
      </c>
      <c r="V24" s="37"/>
      <c r="W24" s="31" t="s">
        <v>44</v>
      </c>
      <c r="X24" t="s">
        <v>28</v>
      </c>
      <c r="Y24" t="s">
        <v>28</v>
      </c>
    </row>
    <row r="25" ht="22.5" customHeight="1" spans="1:25" x14ac:dyDescent="0.25">
      <c r="A25" s="20"/>
      <c r="B25" s="21"/>
      <c r="C25" s="22"/>
      <c r="D25" s="23"/>
      <c r="E25" s="22"/>
      <c r="F25" s="23"/>
      <c r="G25" s="23"/>
      <c r="H25" s="24"/>
      <c r="I25" s="25"/>
      <c r="J25" s="24"/>
      <c r="K25" s="25"/>
      <c r="L25" s="25"/>
      <c r="M25" s="26"/>
      <c r="N25" s="27"/>
      <c r="O25" s="26"/>
      <c r="P25" s="27"/>
      <c r="Q25" s="27"/>
      <c r="R25" s="28"/>
      <c r="S25" s="36"/>
      <c r="T25" s="29"/>
      <c r="U25" s="28"/>
      <c r="V25" s="21"/>
      <c r="W25" s="31"/>
    </row>
    <row r="26" ht="22.5" customHeight="1" spans="1:25" x14ac:dyDescent="0.25">
      <c r="A26" s="20"/>
      <c r="B26" s="21"/>
      <c r="C26" s="22"/>
      <c r="D26" s="23"/>
      <c r="E26" s="22"/>
      <c r="F26" s="23"/>
      <c r="G26" s="23"/>
      <c r="H26" s="24"/>
      <c r="I26" s="25"/>
      <c r="J26" s="24"/>
      <c r="K26" s="25"/>
      <c r="L26" s="25"/>
      <c r="M26" s="26"/>
      <c r="N26" s="27"/>
      <c r="O26" s="26"/>
      <c r="P26" s="27"/>
      <c r="Q26" s="27"/>
      <c r="R26" s="28"/>
      <c r="S26" s="36"/>
      <c r="T26" s="29"/>
      <c r="U26" s="28"/>
      <c r="V26" s="37"/>
      <c r="W26" s="31"/>
    </row>
    <row r="27" ht="22.5" customHeight="1" spans="1:25" x14ac:dyDescent="0.25">
      <c r="A27" s="42"/>
      <c r="B27" s="21"/>
      <c r="C27" s="22"/>
      <c r="D27" s="23"/>
      <c r="E27" s="22"/>
      <c r="F27" s="23"/>
      <c r="G27" s="23"/>
      <c r="H27" s="24"/>
      <c r="I27" s="25"/>
      <c r="J27" s="24"/>
      <c r="K27" s="25"/>
      <c r="L27" s="25"/>
      <c r="M27" s="26"/>
      <c r="N27" s="27"/>
      <c r="O27" s="26"/>
      <c r="P27" s="27"/>
      <c r="Q27" s="27"/>
      <c r="R27" s="28"/>
      <c r="S27" s="36"/>
      <c r="T27" s="29"/>
      <c r="U27" s="28"/>
      <c r="V27" s="43"/>
      <c r="W27" s="44"/>
    </row>
    <row r="28" ht="22.5" customHeight="1" spans="1:25" x14ac:dyDescent="0.25">
      <c r="A28" s="20"/>
      <c r="B28" s="21"/>
      <c r="C28" s="22"/>
      <c r="D28" s="23"/>
      <c r="E28" s="22"/>
      <c r="F28" s="23"/>
      <c r="G28" s="23"/>
      <c r="H28" s="24"/>
      <c r="I28" s="25"/>
      <c r="J28" s="24"/>
      <c r="K28" s="25"/>
      <c r="L28" s="25"/>
      <c r="M28" s="26"/>
      <c r="N28" s="27"/>
      <c r="O28" s="26"/>
      <c r="P28" s="27"/>
      <c r="Q28" s="27"/>
      <c r="R28" s="28"/>
      <c r="S28" s="36"/>
      <c r="T28" s="29"/>
      <c r="U28" s="28"/>
      <c r="V28" s="37"/>
      <c r="W28" s="31"/>
    </row>
    <row r="29" ht="22.5" customHeight="1" spans="1:25" x14ac:dyDescent="0.25">
      <c r="A29" s="42"/>
      <c r="B29" s="21"/>
      <c r="C29" s="22"/>
      <c r="D29" s="23"/>
      <c r="E29" s="22"/>
      <c r="F29" s="23"/>
      <c r="G29" s="23"/>
      <c r="H29" s="24"/>
      <c r="I29" s="25"/>
      <c r="J29" s="24"/>
      <c r="K29" s="25"/>
      <c r="L29" s="25"/>
      <c r="M29" s="26"/>
      <c r="N29" s="27"/>
      <c r="O29" s="26"/>
      <c r="P29" s="27"/>
      <c r="Q29" s="27"/>
      <c r="R29" s="28"/>
      <c r="S29" s="36"/>
      <c r="T29" s="29"/>
      <c r="U29" s="28"/>
      <c r="V29" s="21"/>
      <c r="W29" s="44"/>
    </row>
    <row r="30" ht="22.5" customHeight="1" spans="1:25" x14ac:dyDescent="0.25">
      <c r="A30" s="20"/>
      <c r="B30" s="21"/>
      <c r="C30" s="22"/>
      <c r="D30" s="23"/>
      <c r="E30" s="22"/>
      <c r="F30" s="23"/>
      <c r="G30" s="23"/>
      <c r="H30" s="24"/>
      <c r="I30" s="25"/>
      <c r="J30" s="24"/>
      <c r="K30" s="25"/>
      <c r="L30" s="25"/>
      <c r="M30" s="26"/>
      <c r="N30" s="27"/>
      <c r="O30" s="26"/>
      <c r="P30" s="27"/>
      <c r="Q30" s="27"/>
      <c r="R30" s="28"/>
      <c r="S30" s="36"/>
      <c r="T30" s="29"/>
      <c r="U30" s="28"/>
      <c r="V30" s="37"/>
      <c r="W30" s="31"/>
    </row>
    <row r="31" ht="22.5" customHeight="1" spans="1:25" x14ac:dyDescent="0.25">
      <c r="A31" s="42"/>
      <c r="B31" s="21"/>
      <c r="C31" s="22"/>
      <c r="D31" s="23"/>
      <c r="E31" s="22"/>
      <c r="F31" s="23"/>
      <c r="G31" s="23"/>
      <c r="H31" s="24"/>
      <c r="I31" s="25"/>
      <c r="J31" s="24"/>
      <c r="K31" s="25"/>
      <c r="L31" s="25"/>
      <c r="M31" s="26"/>
      <c r="N31" s="27"/>
      <c r="O31" s="26"/>
      <c r="P31" s="27"/>
      <c r="Q31" s="27"/>
      <c r="R31" s="28"/>
      <c r="S31" s="36"/>
      <c r="T31" s="29"/>
      <c r="U31" s="28"/>
      <c r="V31" s="21"/>
      <c r="W31" s="44"/>
    </row>
    <row r="32" ht="22.5" customHeight="1" spans="1:25" x14ac:dyDescent="0.25">
      <c r="A32" s="20"/>
      <c r="B32" s="21"/>
      <c r="C32" s="22"/>
      <c r="D32" s="23"/>
      <c r="E32" s="22"/>
      <c r="F32" s="23"/>
      <c r="G32" s="23"/>
      <c r="H32" s="24"/>
      <c r="I32" s="25"/>
      <c r="J32" s="24"/>
      <c r="K32" s="25"/>
      <c r="L32" s="25"/>
      <c r="M32" s="26"/>
      <c r="N32" s="27"/>
      <c r="O32" s="26"/>
      <c r="P32" s="27"/>
      <c r="Q32" s="27"/>
      <c r="R32" s="28"/>
      <c r="S32" s="36"/>
      <c r="T32" s="29"/>
      <c r="U32" s="28"/>
      <c r="V32" s="37"/>
      <c r="W32" s="31"/>
    </row>
    <row r="33" ht="22.5" customHeight="1" spans="1:25" x14ac:dyDescent="0.25">
      <c r="A33" s="42"/>
      <c r="B33" s="21"/>
      <c r="C33" s="22"/>
      <c r="D33" s="23"/>
      <c r="E33" s="22"/>
      <c r="F33" s="23"/>
      <c r="G33" s="23"/>
      <c r="H33" s="24"/>
      <c r="I33" s="25"/>
      <c r="J33" s="24"/>
      <c r="K33" s="25"/>
      <c r="L33" s="25"/>
      <c r="M33" s="26"/>
      <c r="N33" s="27"/>
      <c r="O33" s="26"/>
      <c r="P33" s="27"/>
      <c r="Q33" s="27"/>
      <c r="R33" s="28"/>
      <c r="S33" s="36"/>
      <c r="T33" s="29"/>
      <c r="U33" s="28"/>
      <c r="V33" s="21"/>
      <c r="W33" s="44"/>
    </row>
    <row r="34" ht="22.5" customHeight="1" spans="1:25" x14ac:dyDescent="0.25">
      <c r="A34" s="20"/>
      <c r="B34" s="21"/>
      <c r="C34" s="22"/>
      <c r="D34" s="23"/>
      <c r="E34" s="22"/>
      <c r="F34" s="23"/>
      <c r="G34" s="23"/>
      <c r="H34" s="24"/>
      <c r="I34" s="25"/>
      <c r="J34" s="24"/>
      <c r="K34" s="25"/>
      <c r="L34" s="25"/>
      <c r="M34" s="26"/>
      <c r="N34" s="27"/>
      <c r="O34" s="26"/>
      <c r="P34" s="27"/>
      <c r="Q34" s="27"/>
      <c r="R34" s="28"/>
      <c r="S34" s="36"/>
      <c r="T34" s="29"/>
      <c r="U34" s="28"/>
      <c r="V34" s="45"/>
      <c r="W34" s="31"/>
    </row>
    <row r="35" ht="22.5" customHeight="1" spans="1:25" x14ac:dyDescent="0.25">
      <c r="A35" s="42"/>
      <c r="B35" s="21"/>
      <c r="C35" s="22"/>
      <c r="D35" s="23"/>
      <c r="E35" s="22"/>
      <c r="F35" s="23"/>
      <c r="G35" s="23"/>
      <c r="H35" s="24"/>
      <c r="I35" s="25"/>
      <c r="J35" s="24"/>
      <c r="K35" s="25"/>
      <c r="L35" s="25"/>
      <c r="M35" s="26"/>
      <c r="N35" s="27"/>
      <c r="O35" s="26"/>
      <c r="P35" s="27"/>
      <c r="Q35" s="27"/>
      <c r="R35" s="28"/>
      <c r="S35" s="36"/>
      <c r="T35" s="29"/>
      <c r="U35" s="28"/>
      <c r="V35" s="43"/>
      <c r="W35" s="44"/>
    </row>
    <row r="36" ht="22.5" customHeight="1" spans="1:25" x14ac:dyDescent="0.25">
      <c r="A36" s="20"/>
      <c r="B36" s="21"/>
      <c r="C36" s="22"/>
      <c r="D36" s="23"/>
      <c r="E36" s="22"/>
      <c r="F36" s="23"/>
      <c r="G36" s="23"/>
      <c r="H36" s="24"/>
      <c r="I36" s="25"/>
      <c r="J36" s="24"/>
      <c r="K36" s="25"/>
      <c r="L36" s="25"/>
      <c r="M36" s="26"/>
      <c r="N36" s="27"/>
      <c r="O36" s="26"/>
      <c r="P36" s="27"/>
      <c r="Q36" s="27"/>
      <c r="R36" s="28"/>
      <c r="S36" s="36"/>
      <c r="T36" s="29"/>
      <c r="U36" s="28"/>
      <c r="V36" s="40"/>
      <c r="W36" s="31"/>
    </row>
    <row r="37" ht="22.5" customHeight="1" spans="1:25" x14ac:dyDescent="0.25">
      <c r="A37" s="42"/>
      <c r="B37" s="21"/>
      <c r="C37" s="22"/>
      <c r="D37" s="23"/>
      <c r="E37" s="22"/>
      <c r="F37" s="23"/>
      <c r="G37" s="23"/>
      <c r="H37" s="46"/>
      <c r="I37" s="25"/>
      <c r="J37" s="24"/>
      <c r="K37" s="25"/>
      <c r="L37" s="25"/>
      <c r="M37" s="47"/>
      <c r="N37" s="27"/>
      <c r="O37" s="26"/>
      <c r="P37" s="27"/>
      <c r="Q37" s="27"/>
      <c r="R37" s="28"/>
      <c r="S37" s="36"/>
      <c r="T37" s="29"/>
      <c r="U37" s="28"/>
      <c r="V37" s="30"/>
      <c r="W37" s="44"/>
    </row>
    <row r="38" ht="22.5" customHeight="1" spans="1:25" x14ac:dyDescent="0.25">
      <c r="A38" s="20"/>
      <c r="B38" s="21"/>
      <c r="C38" s="22"/>
      <c r="D38" s="23"/>
      <c r="E38" s="22"/>
      <c r="F38" s="23"/>
      <c r="G38" s="23"/>
      <c r="H38" s="46"/>
      <c r="I38" s="25"/>
      <c r="J38" s="24"/>
      <c r="K38" s="25"/>
      <c r="L38" s="25"/>
      <c r="M38" s="47"/>
      <c r="N38" s="27"/>
      <c r="O38" s="26"/>
      <c r="P38" s="27"/>
      <c r="Q38" s="27"/>
      <c r="R38" s="28"/>
      <c r="S38" s="36"/>
      <c r="T38" s="29"/>
      <c r="U38" s="28"/>
      <c r="V38" s="40"/>
      <c r="W38" s="31"/>
    </row>
    <row r="39" ht="22.5" customHeight="1" spans="1:25" x14ac:dyDescent="0.25">
      <c r="A39" s="42"/>
      <c r="B39" s="21"/>
      <c r="C39" s="48"/>
      <c r="D39" s="23"/>
      <c r="E39" s="48"/>
      <c r="F39" s="23"/>
      <c r="G39" s="23"/>
      <c r="H39" s="49"/>
      <c r="I39" s="25"/>
      <c r="J39" s="24"/>
      <c r="K39" s="25"/>
      <c r="L39" s="25"/>
      <c r="M39" s="50"/>
      <c r="N39" s="27"/>
      <c r="O39" s="26"/>
      <c r="P39" s="27"/>
      <c r="Q39" s="27"/>
      <c r="R39" s="28"/>
      <c r="S39" s="51"/>
      <c r="T39" s="29"/>
      <c r="U39" s="28"/>
      <c r="V39" s="52"/>
      <c r="W39" s="44"/>
    </row>
    <row r="40" ht="22.5" customHeight="1" spans="1:23" x14ac:dyDescent="0.25">
      <c r="A40" s="53"/>
      <c r="B40" s="54" t="s">
        <v>55</v>
      </c>
      <c r="C40" s="55">
        <f>SUM(C5:C24)</f>
        <v>41</v>
      </c>
      <c r="D40" s="56">
        <f>SUM(D5:D24)</f>
        <v>615000</v>
      </c>
      <c r="E40" s="57" t="s">
        <v>30</v>
      </c>
      <c r="F40" s="56">
        <f>SUM(F5:F24)</f>
        <v>575000</v>
      </c>
      <c r="G40" s="56">
        <f>SUM(G5:G24)</f>
        <v>40000</v>
      </c>
      <c r="H40" s="55">
        <f>SUM(H5:H24)</f>
        <v>0</v>
      </c>
      <c r="I40" s="56">
        <f>SUM(I5:I24)</f>
        <v>0</v>
      </c>
      <c r="J40" s="57" t="s">
        <v>26</v>
      </c>
      <c r="K40" s="56">
        <f>SUM(K5:K24)</f>
        <v>0</v>
      </c>
      <c r="L40" s="56">
        <f>SUM(L5:L24)</f>
        <v>0</v>
      </c>
      <c r="M40" s="55">
        <f>SUM(M5:M24)</f>
        <v>0</v>
      </c>
      <c r="N40" s="56">
        <f>SUM(N5:N24)</f>
        <v>0</v>
      </c>
      <c r="O40" s="57" t="s">
        <v>26</v>
      </c>
      <c r="P40" s="56">
        <f>SUM(P5:P24)</f>
        <v>0</v>
      </c>
      <c r="Q40" s="56">
        <f>SUM(Q5:Q24)</f>
        <v>0</v>
      </c>
      <c r="R40" s="58">
        <f>SUM(R5:R24)</f>
        <v>615000</v>
      </c>
      <c r="S40" s="59" t="s">
        <v>30</v>
      </c>
      <c r="T40" s="58">
        <f>SUM(T5:T24)</f>
        <v>575000</v>
      </c>
      <c r="U40" s="56">
        <f>SUM(U5:U24)</f>
        <v>40000</v>
      </c>
      <c r="V40" s="60"/>
      <c r="W40" s="61"/>
    </row>
    <row r="41" ht="22.5" customHeight="1" spans="1:23" x14ac:dyDescent="0.25">
      <c r="A41" s="20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</row>
    <row r="42" ht="22.5" customHeight="1" spans="1:23" x14ac:dyDescent="0.25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3" t="s">
        <v>56</v>
      </c>
      <c r="V42" s="62"/>
      <c r="W42" s="62"/>
    </row>
    <row r="43" ht="22.5" customHeight="1" spans="1:23" x14ac:dyDescent="0.25">
      <c r="A43" s="64"/>
      <c r="B43" s="65" t="s">
        <v>57</v>
      </c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4"/>
      <c r="U43" s="65"/>
      <c r="V43" s="66"/>
      <c r="W43" s="64"/>
    </row>
    <row r="44" ht="22.5" customHeight="1" spans="1:23" x14ac:dyDescent="0.25">
      <c r="A44" s="64"/>
      <c r="B44" s="67" t="s">
        <v>58</v>
      </c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4"/>
      <c r="U44" s="69"/>
      <c r="V44" s="68"/>
      <c r="W44" s="64"/>
    </row>
    <row r="45" ht="22.5" customHeight="1" spans="1:23" x14ac:dyDescent="0.25">
      <c r="A45" s="64"/>
      <c r="B45" s="69" t="s">
        <v>59</v>
      </c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4"/>
      <c r="U45" s="69"/>
      <c r="V45" s="68"/>
      <c r="W45" s="64"/>
    </row>
    <row r="46" ht="22.5" customHeight="1" spans="1:23" x14ac:dyDescent="0.25">
      <c r="A46" s="64"/>
      <c r="B46" s="69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4"/>
      <c r="U46" s="69"/>
      <c r="V46" s="68"/>
      <c r="W46" s="64"/>
    </row>
    <row r="47" ht="22.5" customHeight="1" spans="1:23" x14ac:dyDescent="0.25">
      <c r="A47" s="64"/>
      <c r="B47" s="70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4"/>
      <c r="U47" s="70"/>
      <c r="V47" s="68"/>
      <c r="W47" s="64"/>
    </row>
    <row r="48" ht="22.5" customHeight="1" spans="1:23" x14ac:dyDescent="0.2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</row>
    <row r="49" ht="6" customHeight="1" spans="1:23" x14ac:dyDescent="0.25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</row>
  </sheetData>
  <mergeCells count="15">
    <mergeCell ref="B1:R1"/>
    <mergeCell ref="B2:V2"/>
    <mergeCell ref="C3:G3"/>
    <mergeCell ref="H3:L3"/>
    <mergeCell ref="M3:Q3"/>
    <mergeCell ref="B43:S43"/>
    <mergeCell ref="U43:V43"/>
    <mergeCell ref="B44:S44"/>
    <mergeCell ref="U44:V44"/>
    <mergeCell ref="B45:S45"/>
    <mergeCell ref="U45:V45"/>
    <mergeCell ref="B46:S46"/>
    <mergeCell ref="U46:V46"/>
    <mergeCell ref="B47:S47"/>
    <mergeCell ref="U47:V47"/>
  </mergeCells>
  <conditionalFormatting sqref="S5:S39">
    <cfRule type="expression" dxfId="0" priority="1">
      <formula>AND($T5:T39&gt;=$R5:R39,$R5:R39&gt;0)</formula>
    </cfRule>
  </conditionalFormatting>
  <conditionalFormatting sqref="S5:S39">
    <cfRule type="expression" dxfId="1" priority="2">
      <formula>AND($T5:T39&gt;0,$T5:T39&lt;$R5:R39)</formula>
    </cfRule>
  </conditionalFormatting>
  <conditionalFormatting sqref="S5:S39">
    <cfRule type="expression" dxfId="2" priority="3">
      <formula>AND($T5:T39&lt;=0,$R5:R39&gt;0)</formula>
    </cfRule>
  </conditionalFormatting>
  <conditionalFormatting sqref="O5:O39">
    <cfRule type="expression" dxfId="3" priority="4">
      <formula>AND($P5:P39&gt;=$N5:N39,$M5:M39&gt;0)</formula>
    </cfRule>
  </conditionalFormatting>
  <conditionalFormatting sqref="O5:O39">
    <cfRule type="expression" dxfId="4" priority="5">
      <formula>AND($P5:P39&gt;0,$P5:P39&lt;$N5:N39)</formula>
    </cfRule>
  </conditionalFormatting>
  <conditionalFormatting sqref="O5:O39">
    <cfRule type="expression" dxfId="5" priority="6">
      <formula>AND($P5:P39&lt;=0,$M5:M39&gt;0)</formula>
    </cfRule>
  </conditionalFormatting>
  <conditionalFormatting sqref="J5:J39">
    <cfRule type="expression" dxfId="6" priority="7">
      <formula>AND($K5:K39&gt;=$I5:I39,$H5:H39&gt;0)</formula>
    </cfRule>
  </conditionalFormatting>
  <conditionalFormatting sqref="J5:J39">
    <cfRule type="expression" dxfId="7" priority="8">
      <formula>AND($K5:K39&gt;0,$K5:K39&lt;$I5:I39)</formula>
    </cfRule>
  </conditionalFormatting>
  <conditionalFormatting sqref="J5:J39">
    <cfRule type="expression" dxfId="8" priority="9">
      <formula>AND($K5:K39&lt;=0,$H5:H39&gt;0)</formula>
    </cfRule>
  </conditionalFormatting>
  <conditionalFormatting sqref="E5:E39">
    <cfRule type="expression" dxfId="9" priority="10">
      <formula>AND(F5:F39&gt;=$D5:D39,$C5:C39&gt;0)</formula>
    </cfRule>
  </conditionalFormatting>
  <conditionalFormatting sqref="E5:E39">
    <cfRule type="expression" dxfId="10" priority="11">
      <formula>AND($F5:F39&gt;0,$F5:F39&lt;$D5:D39)</formula>
    </cfRule>
  </conditionalFormatting>
  <conditionalFormatting sqref="E5:E39">
    <cfRule type="expression" dxfId="11" priority="12">
      <formula>AND($F5:F39&lt;=0,$C5:C39&gt;0)</formula>
    </cfRule>
  </conditionalFormatting>
  <dataValidations count="8">
    <dataValidation type="list" allowBlank="1" showErrorMessage="1" sqref="E10:E40">
      <formula1>"PAGÓ,PENDIENTE,ABONÓ,CANCELADO"</formula1>
    </dataValidation>
    <dataValidation type="list" allowBlank="1" showErrorMessage="1" sqref="E5:E40">
      <formula1>"PAGÓ,PENDIENTE,ABONÓ,CANCELADO"</formula1>
    </dataValidation>
    <dataValidation type="list" allowBlank="1" showErrorMessage="1" sqref="J10:J40">
      <formula1>"PAGÓ,PENDIENTE,ABONÓ,CANCELADO"</formula1>
    </dataValidation>
    <dataValidation type="list" allowBlank="1" showErrorMessage="1" sqref="J5:J40">
      <formula1>"PAGÓ,PENDIENTE,ABONÓ,CANCELADO"</formula1>
    </dataValidation>
    <dataValidation type="list" allowBlank="1" showErrorMessage="1" sqref="O10:O40">
      <formula1>"PAGÓ,PENDIENTE,ABONÓ,CANCELADO"</formula1>
    </dataValidation>
    <dataValidation type="list" allowBlank="1" showErrorMessage="1" sqref="O5:O40">
      <formula1>"PAGÓ,PENDIENTE,ABONÓ,CANCELADO"</formula1>
    </dataValidation>
    <dataValidation type="list" allowBlank="1" showErrorMessage="1" sqref="S10:S40">
      <formula1>"PAGÓ,PENDIENTE,ABONÓ,CANCELADO"</formula1>
    </dataValidation>
    <dataValidation type="list" allowBlank="1" showErrorMessage="1" sqref="S5:S40">
      <formula1>"PAGÓ,PENDIENTE,ABONÓ,CANCELADO"</formula1>
    </dataValidation>
  </dataValidations>
  <printOptions gridLines="1" horizontalCentered="1"/>
  <pageMargins left="0.25" right="0.25" top="0.75" bottom="0.75" header="0" footer="0"/>
  <pageSetup orientation="landscape" horizontalDpi="4294967295" verticalDpi="4294967295" pageOrder="overThenDown" cellComments="atEnd" scale="100" fitToWidth="1" fitToHeight="0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18" customWidth="1"/>
    <col min="2" max="2" width="22" customWidth="1"/>
  </cols>
  <sheetData>
    <row r="1" spans="1:1" x14ac:dyDescent="0.25">
      <c r="A1" s="72" t="s">
        <v>60</v>
      </c>
    </row>
    <row r="2" spans="1:2" x14ac:dyDescent="0.25">
      <c r="A2" t="s">
        <v>61</v>
      </c>
      <c r="B2" t="s">
        <v>62</v>
      </c>
    </row>
    <row r="3" spans="1:2" x14ac:dyDescent="0.25">
      <c r="A3" t="s">
        <v>63</v>
      </c>
      <c r="B3">
        <v>45</v>
      </c>
    </row>
    <row r="4" spans="1:2" x14ac:dyDescent="0.25">
      <c r="A4" t="s">
        <v>64</v>
      </c>
      <c r="B4">
        <v>15000</v>
      </c>
    </row>
    <row r="5" spans="1:2" x14ac:dyDescent="0.25">
      <c r="A5" t="s">
        <v>65</v>
      </c>
      <c r="B5" t="s">
        <v>66</v>
      </c>
    </row>
    <row r="6" spans="1:2" x14ac:dyDescent="0.25">
      <c r="A6" t="s">
        <v>67</v>
      </c>
      <c r="B6" t="s">
        <v>68</v>
      </c>
    </row>
    <row r="7" spans="1:2" x14ac:dyDescent="0.25">
      <c r="A7" t="s">
        <v>69</v>
      </c>
      <c r="B7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Arreglo Bus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2026-09-20T23:27:37Z</dcterms:created>
  <dcterms:modified xsi:type="dcterms:W3CDTF">2026-09-20T23:27:37Z</dcterms:modified>
</cp:coreProperties>
</file>